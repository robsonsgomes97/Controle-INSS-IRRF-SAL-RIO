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github\Calculo-Inss-IRFF-Liquido\"/>
    </mc:Choice>
  </mc:AlternateContent>
  <xr:revisionPtr revIDLastSave="0" documentId="13_ncr:1_{BB5AA853-0B87-4518-95E4-973FBFBF295E}" xr6:coauthVersionLast="47" xr6:coauthVersionMax="47" xr10:uidLastSave="{00000000-0000-0000-0000-000000000000}"/>
  <bookViews>
    <workbookView xWindow="-120" yWindow="-120" windowWidth="20640" windowHeight="11040" xr2:uid="{D890D1F6-A130-47DD-A9B2-5D7A6B1B6EA5}"/>
  </bookViews>
  <sheets>
    <sheet name="Inss|Irrf|Salarioliquido" sheetId="1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4" i="1"/>
  <c r="E5" i="1"/>
  <c r="E6" i="1"/>
  <c r="E7" i="1"/>
  <c r="E8" i="1"/>
  <c r="E9" i="1"/>
  <c r="E10" i="1"/>
  <c r="E11" i="1"/>
  <c r="E12" i="1"/>
  <c r="E13" i="1"/>
  <c r="E4" i="1"/>
  <c r="D4" i="1"/>
  <c r="D5" i="1"/>
  <c r="D6" i="1"/>
  <c r="D7" i="1"/>
  <c r="D8" i="1"/>
  <c r="D9" i="1"/>
  <c r="D10" i="1"/>
  <c r="D11" i="1"/>
  <c r="D12" i="1"/>
  <c r="D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</author>
  </authors>
  <commentList>
    <comment ref="D4" authorId="0" shapeId="0" xr:uid="{3433A72F-8F94-4538-A7F3-CD4C704EE38B}">
      <text>
        <r>
          <rPr>
            <b/>
            <sz val="9"/>
            <color indexed="81"/>
            <rFont val="Segoe UI"/>
            <family val="2"/>
          </rPr>
          <t>G:</t>
        </r>
        <r>
          <rPr>
            <sz val="9"/>
            <color indexed="81"/>
            <rFont val="Segoe UI"/>
            <family val="2"/>
          </rPr>
          <t xml:space="preserve">
Cal - Porcentagem INSS - SALÁRIO
1k320 = 7,5%
1k320 - 2571,29 = 9%
2571,29 - 3856,94 = 12%
A CIMA DISSO = 14%</t>
        </r>
      </text>
    </comment>
    <comment ref="E4" authorId="0" shapeId="0" xr:uid="{91280AF6-28E6-41DD-A36C-A93904364113}">
      <text>
        <r>
          <rPr>
            <b/>
            <sz val="9"/>
            <color indexed="81"/>
            <rFont val="Segoe UI"/>
            <family val="2"/>
          </rPr>
          <t>G:</t>
        </r>
        <r>
          <rPr>
            <sz val="9"/>
            <color indexed="81"/>
            <rFont val="Segoe UI"/>
            <family val="2"/>
          </rPr>
          <t xml:space="preserve">
IRFF/ SALARIO BRUTO
1903,98 - ISENTO
2826,65 - 7,5%
3751,05 - 15%
4664,98 - 22,5%
a cima 27,5%</t>
        </r>
      </text>
    </comment>
    <comment ref="F4" authorId="0" shapeId="0" xr:uid="{E6DF37C0-2F27-4505-994F-9A6B4941905A}">
      <text>
        <r>
          <rPr>
            <b/>
            <sz val="9"/>
            <color indexed="81"/>
            <rFont val="Segoe UI"/>
            <family val="2"/>
          </rPr>
          <t>G:</t>
        </r>
        <r>
          <rPr>
            <sz val="9"/>
            <color indexed="81"/>
            <rFont val="Segoe UI"/>
            <family val="2"/>
          </rPr>
          <t xml:space="preserve">
Calculo: SALARIO - INSS - IRRF</t>
        </r>
      </text>
    </comment>
  </commentList>
</comments>
</file>

<file path=xl/sharedStrings.xml><?xml version="1.0" encoding="utf-8"?>
<sst xmlns="http://schemas.openxmlformats.org/spreadsheetml/2006/main" count="45" uniqueCount="29">
  <si>
    <t>Funcionário</t>
  </si>
  <si>
    <t>Cargo</t>
  </si>
  <si>
    <t>Salário Bruto</t>
  </si>
  <si>
    <t>INSS</t>
  </si>
  <si>
    <t>IRRF</t>
  </si>
  <si>
    <t>Salário Líquido</t>
  </si>
  <si>
    <t>João Silva</t>
  </si>
  <si>
    <t>Assistente</t>
  </si>
  <si>
    <t>Maria Souza</t>
  </si>
  <si>
    <t>Analista</t>
  </si>
  <si>
    <t>Carlos Lima</t>
  </si>
  <si>
    <t>Auxiliar</t>
  </si>
  <si>
    <t>Ana Costa</t>
  </si>
  <si>
    <t>Supervisor</t>
  </si>
  <si>
    <t>Pedro Alves</t>
  </si>
  <si>
    <t>Juliana Rocha</t>
  </si>
  <si>
    <t>Lucas Martins</t>
  </si>
  <si>
    <t>Fernanda Gomes</t>
  </si>
  <si>
    <t>Rafael Dias</t>
  </si>
  <si>
    <t>Camila Freitas</t>
  </si>
  <si>
    <t>CALCULO INSS|IRRF| SALÁRIO LÍQUIDO</t>
  </si>
  <si>
    <t>Rótulos de Linha</t>
  </si>
  <si>
    <t>Total Geral</t>
  </si>
  <si>
    <t>Soma de Salário Líquido</t>
  </si>
  <si>
    <t>Rank Salárial</t>
  </si>
  <si>
    <t>Cor por Média</t>
  </si>
  <si>
    <t>&lt; 2000</t>
  </si>
  <si>
    <t>&gt;  4000</t>
  </si>
  <si>
    <t>2000 &gt; e &lt;= 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</si>
</sst>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Moeda" xfId="1" builtinId="4"/>
    <cellStyle name="Normal" xfId="0" builtinId="0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" refreshedDate="46108.50627824074" createdVersion="8" refreshedVersion="8" minRefreshableVersion="3" recordCount="10" xr:uid="{AEDE4023-BF9C-43B6-9A24-FE35DCD57808}">
  <cacheSource type="worksheet">
    <worksheetSource ref="A3:F13" sheet="Inss|Irrf|Salarioliquido"/>
  </cacheSource>
  <cacheFields count="6">
    <cacheField name="Funcionário" numFmtId="0">
      <sharedItems count="10">
        <s v="João Silva"/>
        <s v="Maria Souza"/>
        <s v="Carlos Lima"/>
        <s v="Ana Costa"/>
        <s v="Pedro Alves"/>
        <s v="Juliana Rocha"/>
        <s v="Lucas Martins"/>
        <s v="Fernanda Gomes"/>
        <s v="Rafael Dias"/>
        <s v="Camila Freitas"/>
      </sharedItems>
    </cacheField>
    <cacheField name="Cargo" numFmtId="0">
      <sharedItems/>
    </cacheField>
    <cacheField name="Salário Bruto" numFmtId="44">
      <sharedItems containsSemiMixedTypes="0" containsString="0" containsNumber="1" containsInteger="1" minValue="1500" maxValue="6000"/>
    </cacheField>
    <cacheField name="INSS" numFmtId="44">
      <sharedItems containsSemiMixedTypes="0" containsString="0" containsNumber="1" minValue="135" maxValue="840.00000000000011"/>
    </cacheField>
    <cacheField name="IRRF" numFmtId="44">
      <sharedItems containsSemiMixedTypes="0" containsString="0" containsNumber="1" minValue="0" maxValue="1650.0000000000002"/>
    </cacheField>
    <cacheField name="Salário Líquido" numFmtId="44">
      <sharedItems containsSemiMixedTypes="0" containsString="0" containsNumber="1" minValue="1365" maxValue="35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Assistente"/>
    <n v="2500"/>
    <n v="225"/>
    <n v="187.5"/>
    <n v="2087.5"/>
  </r>
  <r>
    <x v="1"/>
    <s v="Analista"/>
    <n v="3500"/>
    <n v="420"/>
    <n v="525"/>
    <n v="2555"/>
  </r>
  <r>
    <x v="2"/>
    <s v="Auxiliar"/>
    <n v="1800"/>
    <n v="162"/>
    <n v="0"/>
    <n v="1638"/>
  </r>
  <r>
    <x v="3"/>
    <s v="Supervisor"/>
    <n v="5200"/>
    <n v="728.00000000000011"/>
    <n v="1430.0000000000002"/>
    <n v="3042"/>
  </r>
  <r>
    <x v="4"/>
    <s v="Assistente"/>
    <n v="2800"/>
    <n v="336"/>
    <n v="210"/>
    <n v="2254"/>
  </r>
  <r>
    <x v="5"/>
    <s v="Analista"/>
    <n v="4000"/>
    <n v="560"/>
    <n v="900"/>
    <n v="2540"/>
  </r>
  <r>
    <x v="6"/>
    <s v="Auxiliar"/>
    <n v="1500"/>
    <n v="135"/>
    <n v="0"/>
    <n v="1365"/>
  </r>
  <r>
    <x v="7"/>
    <s v="Supervisor"/>
    <n v="6000"/>
    <n v="840.00000000000011"/>
    <n v="1650.0000000000002"/>
    <n v="3510"/>
  </r>
  <r>
    <x v="8"/>
    <s v="Assistente"/>
    <n v="2700"/>
    <n v="324"/>
    <n v="202.5"/>
    <n v="2173.5"/>
  </r>
  <r>
    <x v="9"/>
    <s v="Analista"/>
    <n v="3000"/>
    <n v="360"/>
    <n v="450"/>
    <n v="2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42834-003B-42AB-8125-30FA8705FB9D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3:J14" firstHeaderRow="1" firstDataRow="1" firstDataCol="1"/>
  <pivotFields count="6">
    <pivotField axis="axisRow" showAll="0" sortType="descending">
      <items count="11">
        <item x="8"/>
        <item x="4"/>
        <item x="1"/>
        <item x="6"/>
        <item x="5"/>
        <item x="0"/>
        <item x="7"/>
        <item x="2"/>
        <item x="9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numFmtId="44" showAll="0"/>
    <pivotField numFmtId="44" showAll="0"/>
    <pivotField dataField="1" numFmtId="44" showAll="0"/>
  </pivotFields>
  <rowFields count="1">
    <field x="0"/>
  </rowFields>
  <rowItems count="11">
    <i>
      <x v="6"/>
    </i>
    <i>
      <x v="9"/>
    </i>
    <i>
      <x v="2"/>
    </i>
    <i>
      <x v="4"/>
    </i>
    <i>
      <x v="1"/>
    </i>
    <i>
      <x v="8"/>
    </i>
    <i>
      <x/>
    </i>
    <i>
      <x v="5"/>
    </i>
    <i>
      <x v="7"/>
    </i>
    <i>
      <x v="3"/>
    </i>
    <i t="grand">
      <x/>
    </i>
  </rowItems>
  <colItems count="1">
    <i/>
  </colItems>
  <dataFields count="1">
    <dataField name="Soma de Salário Líquido" fld="5" baseField="0" baseItem="0" numFmtId="44"/>
  </dataFields>
  <formats count="7"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outline="0" axis="axisValues" fieldPosition="0"/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0553-A530-4F8C-B37D-070880DF8210}">
  <dimension ref="A1:N17"/>
  <sheetViews>
    <sheetView tabSelected="1" zoomScaleNormal="100" workbookViewId="0">
      <selection activeCell="I22" sqref="I22"/>
    </sheetView>
  </sheetViews>
  <sheetFormatPr defaultRowHeight="15" x14ac:dyDescent="0.25"/>
  <cols>
    <col min="1" max="1" width="16.140625" bestFit="1" customWidth="1"/>
    <col min="2" max="2" width="10.28515625" bestFit="1" customWidth="1"/>
    <col min="3" max="3" width="12.7109375" bestFit="1" customWidth="1"/>
    <col min="4" max="4" width="11.140625" bestFit="1" customWidth="1"/>
    <col min="5" max="5" width="12.7109375" bestFit="1" customWidth="1"/>
    <col min="6" max="6" width="14.42578125" bestFit="1" customWidth="1"/>
    <col min="9" max="9" width="18.42578125" bestFit="1" customWidth="1"/>
    <col min="10" max="10" width="22.85546875" bestFit="1" customWidth="1"/>
    <col min="11" max="11" width="5.85546875" customWidth="1"/>
    <col min="12" max="12" width="16.42578125" bestFit="1" customWidth="1"/>
    <col min="13" max="13" width="18.42578125" bestFit="1" customWidth="1"/>
    <col min="14" max="14" width="22.85546875" bestFit="1" customWidth="1"/>
  </cols>
  <sheetData>
    <row r="1" spans="1:14" x14ac:dyDescent="0.25">
      <c r="B1" s="4" t="s">
        <v>20</v>
      </c>
      <c r="C1" s="4"/>
      <c r="D1" s="4"/>
      <c r="E1" s="4"/>
      <c r="L1" s="5"/>
      <c r="M1" s="5"/>
      <c r="N1" s="5"/>
    </row>
    <row r="2" spans="1:14" x14ac:dyDescent="0.25">
      <c r="B2" s="4"/>
      <c r="C2" s="4"/>
      <c r="D2" s="4"/>
      <c r="E2" s="4"/>
      <c r="I2" s="10" t="s">
        <v>24</v>
      </c>
      <c r="J2" s="11"/>
      <c r="L2" s="5"/>
    </row>
    <row r="3" spans="1:1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"/>
      <c r="I3" s="6" t="s">
        <v>21</v>
      </c>
      <c r="J3" s="7" t="s">
        <v>23</v>
      </c>
      <c r="L3" s="12" t="s">
        <v>25</v>
      </c>
    </row>
    <row r="4" spans="1:14" x14ac:dyDescent="0.25">
      <c r="A4" s="2" t="s">
        <v>6</v>
      </c>
      <c r="B4" s="2" t="s">
        <v>7</v>
      </c>
      <c r="C4" s="3">
        <v>2500</v>
      </c>
      <c r="D4" s="3">
        <f>IF(C4&lt;=1320,C4*0.075,
IF(C4&lt;=2571.29,C4*0.09,
IF(C4&lt;=3856.94,C4*0.12,
C4*0.14)))</f>
        <v>225</v>
      </c>
      <c r="E4" s="3">
        <f>IF(C4&lt;=1903.98,C4*0,IF(C4&lt;=2826.65,C4*0.075,IF(C4&lt;=3751.05,C4*0.15,IF(C4&lt;=4664.68,C4*0.225,C4*0.275))))</f>
        <v>187.5</v>
      </c>
      <c r="F4" s="3">
        <f>C4-D4-E4</f>
        <v>2087.5</v>
      </c>
      <c r="G4" s="1"/>
      <c r="I4" s="8" t="s">
        <v>17</v>
      </c>
      <c r="J4" s="9">
        <v>3510</v>
      </c>
      <c r="L4" s="2" t="s">
        <v>27</v>
      </c>
    </row>
    <row r="5" spans="1:14" x14ac:dyDescent="0.25">
      <c r="A5" s="2" t="s">
        <v>8</v>
      </c>
      <c r="B5" s="2" t="s">
        <v>9</v>
      </c>
      <c r="C5" s="3">
        <v>3500</v>
      </c>
      <c r="D5" s="3">
        <f t="shared" ref="D5:D13" si="0">IF(C5&lt;=1320,C5*0.075,
IF(C5&lt;=2571.29,C5*0.09,
IF(C5&lt;=3856.94,C5*0.12,
C5*0.14)))</f>
        <v>420</v>
      </c>
      <c r="E5" s="3">
        <f t="shared" ref="E5:E13" si="1">IF(C5&lt;=1903.98,C5*0,IF(C5&lt;=2826.65,C5*0.075,IF(C5&lt;=3751.05,C5*0.15,IF(C5&lt;=4664.68,C5*0.225,C5*0.275))))</f>
        <v>525</v>
      </c>
      <c r="F5" s="3">
        <f t="shared" ref="F5:F13" si="2">C5-D5-E5</f>
        <v>2555</v>
      </c>
      <c r="G5" s="1"/>
      <c r="I5" s="8" t="s">
        <v>12</v>
      </c>
      <c r="J5" s="9">
        <v>3042</v>
      </c>
      <c r="L5" s="2" t="s">
        <v>28</v>
      </c>
    </row>
    <row r="6" spans="1:14" x14ac:dyDescent="0.25">
      <c r="A6" s="2" t="s">
        <v>10</v>
      </c>
      <c r="B6" s="2" t="s">
        <v>11</v>
      </c>
      <c r="C6" s="3">
        <v>1800</v>
      </c>
      <c r="D6" s="3">
        <f t="shared" si="0"/>
        <v>162</v>
      </c>
      <c r="E6" s="3">
        <f t="shared" si="1"/>
        <v>0</v>
      </c>
      <c r="F6" s="3">
        <f t="shared" si="2"/>
        <v>1638</v>
      </c>
      <c r="G6" s="1"/>
      <c r="I6" s="8" t="s">
        <v>8</v>
      </c>
      <c r="J6" s="9">
        <v>2555</v>
      </c>
      <c r="L6" s="2" t="s">
        <v>26</v>
      </c>
    </row>
    <row r="7" spans="1:14" x14ac:dyDescent="0.25">
      <c r="A7" s="2" t="s">
        <v>12</v>
      </c>
      <c r="B7" s="2" t="s">
        <v>13</v>
      </c>
      <c r="C7" s="3">
        <v>5200</v>
      </c>
      <c r="D7" s="3">
        <f t="shared" si="0"/>
        <v>728.00000000000011</v>
      </c>
      <c r="E7" s="3">
        <f t="shared" si="1"/>
        <v>1430.0000000000002</v>
      </c>
      <c r="F7" s="3">
        <f t="shared" si="2"/>
        <v>3042</v>
      </c>
      <c r="G7" s="1"/>
      <c r="I7" s="8" t="s">
        <v>15</v>
      </c>
      <c r="J7" s="9">
        <v>2540</v>
      </c>
    </row>
    <row r="8" spans="1:14" x14ac:dyDescent="0.25">
      <c r="A8" s="2" t="s">
        <v>14</v>
      </c>
      <c r="B8" s="2" t="s">
        <v>7</v>
      </c>
      <c r="C8" s="3">
        <v>2800</v>
      </c>
      <c r="D8" s="3">
        <f t="shared" si="0"/>
        <v>336</v>
      </c>
      <c r="E8" s="3">
        <f t="shared" si="1"/>
        <v>210</v>
      </c>
      <c r="F8" s="3">
        <f t="shared" si="2"/>
        <v>2254</v>
      </c>
      <c r="G8" s="1"/>
      <c r="I8" s="8" t="s">
        <v>14</v>
      </c>
      <c r="J8" s="9">
        <v>2254</v>
      </c>
    </row>
    <row r="9" spans="1:14" x14ac:dyDescent="0.25">
      <c r="A9" s="2" t="s">
        <v>15</v>
      </c>
      <c r="B9" s="2" t="s">
        <v>9</v>
      </c>
      <c r="C9" s="3">
        <v>4000</v>
      </c>
      <c r="D9" s="3">
        <f t="shared" si="0"/>
        <v>560</v>
      </c>
      <c r="E9" s="3">
        <f t="shared" si="1"/>
        <v>900</v>
      </c>
      <c r="F9" s="3">
        <f t="shared" si="2"/>
        <v>2540</v>
      </c>
      <c r="G9" s="1"/>
      <c r="I9" s="8" t="s">
        <v>19</v>
      </c>
      <c r="J9" s="9">
        <v>2190</v>
      </c>
    </row>
    <row r="10" spans="1:14" x14ac:dyDescent="0.25">
      <c r="A10" s="2" t="s">
        <v>16</v>
      </c>
      <c r="B10" s="2" t="s">
        <v>11</v>
      </c>
      <c r="C10" s="3">
        <v>1500</v>
      </c>
      <c r="D10" s="3">
        <f t="shared" si="0"/>
        <v>135</v>
      </c>
      <c r="E10" s="3">
        <f t="shared" si="1"/>
        <v>0</v>
      </c>
      <c r="F10" s="3">
        <f t="shared" si="2"/>
        <v>1365</v>
      </c>
      <c r="G10" s="1"/>
      <c r="I10" s="8" t="s">
        <v>18</v>
      </c>
      <c r="J10" s="9">
        <v>2173.5</v>
      </c>
    </row>
    <row r="11" spans="1:14" x14ac:dyDescent="0.25">
      <c r="A11" s="2" t="s">
        <v>17</v>
      </c>
      <c r="B11" s="2" t="s">
        <v>13</v>
      </c>
      <c r="C11" s="3">
        <v>6000</v>
      </c>
      <c r="D11" s="3">
        <f t="shared" si="0"/>
        <v>840.00000000000011</v>
      </c>
      <c r="E11" s="3">
        <f t="shared" si="1"/>
        <v>1650.0000000000002</v>
      </c>
      <c r="F11" s="3">
        <f t="shared" si="2"/>
        <v>3510</v>
      </c>
      <c r="G11" s="1"/>
      <c r="I11" s="8" t="s">
        <v>6</v>
      </c>
      <c r="J11" s="9">
        <v>2087.5</v>
      </c>
    </row>
    <row r="12" spans="1:14" x14ac:dyDescent="0.25">
      <c r="A12" s="2" t="s">
        <v>18</v>
      </c>
      <c r="B12" s="2" t="s">
        <v>7</v>
      </c>
      <c r="C12" s="3">
        <v>2700</v>
      </c>
      <c r="D12" s="3">
        <f t="shared" si="0"/>
        <v>324</v>
      </c>
      <c r="E12" s="3">
        <f t="shared" si="1"/>
        <v>202.5</v>
      </c>
      <c r="F12" s="3">
        <f t="shared" si="2"/>
        <v>2173.5</v>
      </c>
      <c r="G12" s="1"/>
      <c r="I12" s="8" t="s">
        <v>10</v>
      </c>
      <c r="J12" s="9">
        <v>1638</v>
      </c>
    </row>
    <row r="13" spans="1:14" x14ac:dyDescent="0.25">
      <c r="A13" s="2" t="s">
        <v>19</v>
      </c>
      <c r="B13" s="2" t="s">
        <v>9</v>
      </c>
      <c r="C13" s="3">
        <v>3000</v>
      </c>
      <c r="D13" s="3">
        <f t="shared" si="0"/>
        <v>360</v>
      </c>
      <c r="E13" s="3">
        <f t="shared" si="1"/>
        <v>450</v>
      </c>
      <c r="F13" s="3">
        <f t="shared" si="2"/>
        <v>2190</v>
      </c>
      <c r="G13" s="1"/>
      <c r="I13" s="8" t="s">
        <v>16</v>
      </c>
      <c r="J13" s="9">
        <v>1365</v>
      </c>
    </row>
    <row r="14" spans="1:14" x14ac:dyDescent="0.25">
      <c r="I14" s="8" t="s">
        <v>22</v>
      </c>
      <c r="J14" s="9">
        <v>23355</v>
      </c>
    </row>
    <row r="17" s="13" customFormat="1" x14ac:dyDescent="0.25"/>
  </sheetData>
  <mergeCells count="3">
    <mergeCell ref="B1:E2"/>
    <mergeCell ref="I2:J2"/>
    <mergeCell ref="A17:XFD17"/>
  </mergeCells>
  <conditionalFormatting sqref="L4">
    <cfRule type="iconSet" priority="6">
      <iconSet iconSet="3Signs">
        <cfvo type="percent" val="0"/>
        <cfvo type="percent" val="33"/>
        <cfvo type="percent" val="67"/>
      </iconSet>
    </cfRule>
    <cfRule type="iconSet" priority="5">
      <iconSet>
        <cfvo type="percent" val="0"/>
        <cfvo type="num" val="2000"/>
        <cfvo type="num" val="3200"/>
      </iconSet>
    </cfRule>
  </conditionalFormatting>
  <conditionalFormatting pivot="1" sqref="J4:J13">
    <cfRule type="iconSet" priority="4">
      <iconSet>
        <cfvo type="percent" val="0"/>
        <cfvo type="num" val="2000"/>
        <cfvo type="num" val="3000"/>
      </iconSet>
    </cfRule>
  </conditionalFormatting>
  <conditionalFormatting sqref="L4:L6">
    <cfRule type="containsText" dxfId="2" priority="3" operator="containsText" text="&gt;  4000">
      <formula>NOT(ISERROR(SEARCH("&gt;  4000",L4)))</formula>
    </cfRule>
  </conditionalFormatting>
  <conditionalFormatting sqref="L5">
    <cfRule type="containsText" dxfId="0" priority="2" operator="containsText" text="2000 &gt; e &lt;= 4000">
      <formula>NOT(ISERROR(SEARCH("2000 &gt; e &lt;= 4000",L5)))</formula>
    </cfRule>
  </conditionalFormatting>
  <conditionalFormatting sqref="L6">
    <cfRule type="containsText" dxfId="1" priority="1" operator="containsText" text="&lt; 2000">
      <formula>NOT(ISERROR(SEARCH("&lt; 2000",L6)))</formula>
    </cfRule>
  </conditionalFormatting>
  <pageMargins left="0.511811024" right="0.511811024" top="0.78740157499999996" bottom="0.78740157499999996" header="0.31496062000000002" footer="0.31496062000000002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Inss|Irrf|Salarioliquido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da Silva Gomes</dc:creator>
  <cp:lastModifiedBy>Robson da Silva Gomes</cp:lastModifiedBy>
  <dcterms:created xsi:type="dcterms:W3CDTF">2026-03-27T14:07:27Z</dcterms:created>
  <dcterms:modified xsi:type="dcterms:W3CDTF">2026-03-27T17:22:57Z</dcterms:modified>
</cp:coreProperties>
</file>